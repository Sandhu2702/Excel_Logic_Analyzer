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 ID</t>
        </is>
      </c>
      <c r="B1" t="inlineStr">
        <is>
          <t>Salary</t>
        </is>
      </c>
      <c r="C1" t="inlineStr">
        <is>
          <t>Performance Score</t>
        </is>
      </c>
      <c r="D1" t="inlineStr">
        <is>
          <t>Department</t>
        </is>
      </c>
      <c r="E1" t="inlineStr">
        <is>
          <t>Bonus %</t>
        </is>
      </c>
      <c r="F1" t="inlineStr">
        <is>
          <t>Bonus Amount</t>
        </is>
      </c>
      <c r="G1" t="inlineStr">
        <is>
          <t>Scholarship</t>
        </is>
      </c>
      <c r="H1" t="inlineStr">
        <is>
          <t>Tax</t>
        </is>
      </c>
      <c r="I1" t="inlineStr">
        <is>
          <t>Net Salary</t>
        </is>
      </c>
      <c r="J1" t="inlineStr">
        <is>
          <t>Performance Grade</t>
        </is>
      </c>
      <c r="K1" t="inlineStr">
        <is>
          <t>Promotion</t>
        </is>
      </c>
      <c r="L1" t="inlineStr">
        <is>
          <t>Reward</t>
        </is>
      </c>
      <c r="M1" t="inlineStr">
        <is>
          <t>Experience Level</t>
        </is>
      </c>
    </row>
    <row r="2">
      <c r="A2" t="inlineStr">
        <is>
          <t>EMP001</t>
        </is>
      </c>
      <c r="B2">
        <f>VLOOKUP(A2,'[Employee_Details_Sample.xlsx]Employee Details'!$A:$G,4,FALSE)</f>
        <v/>
      </c>
      <c r="C2">
        <f>VLOOKUP(A2,'[Employee_Details_Sample.xlsx]Employee Details'!$A:$G,5,FALSE)</f>
        <v/>
      </c>
      <c r="D2">
        <f>VLOOKUP(A2,'[Employee_Details_Sample.xlsx]Employee Details'!$A:$G,3,FALSE)</f>
        <v/>
      </c>
      <c r="E2">
        <f>VLOOKUP(C2,'[Employee_Details_Sample.xlsx]Bonus_Table'!$A:$B,2,TRUE)</f>
        <v/>
      </c>
      <c r="F2">
        <f>B2*E2</f>
        <v/>
      </c>
      <c r="G2">
        <f>VLOOKUP(D2,'[Employee_Details_Sample.xlsx]Scholarship_Table'!$A:$B,2,FALSE)</f>
        <v/>
      </c>
      <c r="H2">
        <f>(B2+F2+G2)*9%</f>
        <v/>
      </c>
      <c r="I2">
        <f>B2+F2+G2-H2</f>
        <v/>
      </c>
      <c r="J2">
        <f>IF(C2&gt;=90,"Excellent",IF(C2&gt;=80,"Very Good",IF(C2&gt;=70,"Good","Average")))</f>
        <v/>
      </c>
      <c r="K2">
        <f>IF(AND(C2&gt;=90,G2&gt;=4000),"Eligible","Not Eligible")</f>
        <v/>
      </c>
      <c r="L2">
        <f>IF(OR(C2&gt;=95,F2&gt;=3000),"Reward","No Reward")</f>
        <v/>
      </c>
      <c r="M2">
        <f>IFS(C2&gt;=90,"Gold",C2&gt;=80,"Silver",C2&gt;=70,"Bronze",TRUE,"Basic")</f>
        <v/>
      </c>
    </row>
    <row r="3">
      <c r="A3" t="inlineStr">
        <is>
          <t>EMP002</t>
        </is>
      </c>
      <c r="B3">
        <f>VLOOKUP(A3,'[Employee_Details_Sample.xlsx]Employee Details'!$A:$G,4,FALSE)</f>
        <v/>
      </c>
      <c r="C3">
        <f>VLOOKUP(A3,'[Employee_Details_Sample.xlsx]Employee Details'!$A:$G,5,FALSE)</f>
        <v/>
      </c>
      <c r="D3">
        <f>VLOOKUP(A3,'[Employee_Details_Sample.xlsx]Employee Details'!$A:$G,3,FALSE)</f>
        <v/>
      </c>
      <c r="E3">
        <f>VLOOKUP(C3,'[Employee_Details_Sample.xlsx]Bonus_Table'!$A:$B,2,TRUE)</f>
        <v/>
      </c>
      <c r="F3">
        <f>B3*E3</f>
        <v/>
      </c>
      <c r="G3">
        <f>VLOOKUP(D3,'[Employee_Details_Sample.xlsx]Scholarship_Table'!$A:$B,2,FALSE)</f>
        <v/>
      </c>
      <c r="H3">
        <f>(B3+F3+G3)*9%</f>
        <v/>
      </c>
      <c r="I3">
        <f>B3+F3+G3-H3</f>
        <v/>
      </c>
      <c r="J3">
        <f>IF(C3&gt;=90,"Excellent",IF(C3&gt;=80,"Very Good",IF(C3&gt;=70,"Good","Average")))</f>
        <v/>
      </c>
      <c r="K3">
        <f>IF(AND(C3&gt;=90,G3&gt;=4000),"Eligible","Not Eligible")</f>
        <v/>
      </c>
      <c r="L3">
        <f>IF(OR(C3&gt;=95,F3&gt;=3000),"Reward","No Reward")</f>
        <v/>
      </c>
      <c r="M3">
        <f>IFS(C3&gt;=90,"Gold",C3&gt;=80,"Silver",C3&gt;=70,"Bronze",TRUE,"Basic")</f>
        <v/>
      </c>
    </row>
    <row r="4">
      <c r="A4" t="inlineStr">
        <is>
          <t>EMP003</t>
        </is>
      </c>
      <c r="B4">
        <f>VLOOKUP(A4,'[Employee_Details_Sample.xlsx]Employee Details'!$A:$G,4,FALSE)</f>
        <v/>
      </c>
      <c r="C4">
        <f>VLOOKUP(A4,'[Employee_Details_Sample.xlsx]Employee Details'!$A:$G,5,FALSE)</f>
        <v/>
      </c>
      <c r="D4">
        <f>VLOOKUP(A4,'[Employee_Details_Sample.xlsx]Employee Details'!$A:$G,3,FALSE)</f>
        <v/>
      </c>
      <c r="E4">
        <f>VLOOKUP(C4,'[Employee_Details_Sample.xlsx]Bonus_Table'!$A:$B,2,TRUE)</f>
        <v/>
      </c>
      <c r="F4">
        <f>B4*E4</f>
        <v/>
      </c>
      <c r="G4">
        <f>VLOOKUP(D4,'[Employee_Details_Sample.xlsx]Scholarship_Table'!$A:$B,2,FALSE)</f>
        <v/>
      </c>
      <c r="H4">
        <f>(B4+F4+G4)*9%</f>
        <v/>
      </c>
      <c r="I4">
        <f>B4+F4+G4-H4</f>
        <v/>
      </c>
      <c r="J4">
        <f>IF(C4&gt;=90,"Excellent",IF(C4&gt;=80,"Very Good",IF(C4&gt;=70,"Good","Average")))</f>
        <v/>
      </c>
      <c r="K4">
        <f>IF(AND(C4&gt;=90,G4&gt;=4000),"Eligible","Not Eligible")</f>
        <v/>
      </c>
      <c r="L4">
        <f>IF(OR(C4&gt;=95,F4&gt;=3000),"Reward","No Reward")</f>
        <v/>
      </c>
      <c r="M4">
        <f>IFS(C4&gt;=90,"Gold",C4&gt;=80,"Silver",C4&gt;=70,"Bronze",TRUE,"Basic")</f>
        <v/>
      </c>
    </row>
    <row r="5">
      <c r="A5" t="inlineStr">
        <is>
          <t>EMP004</t>
        </is>
      </c>
      <c r="B5">
        <f>VLOOKUP(A5,'[Employee_Details_Sample.xlsx]Employee Details'!$A:$G,4,FALSE)</f>
        <v/>
      </c>
      <c r="C5">
        <f>VLOOKUP(A5,'[Employee_Details_Sample.xlsx]Employee Details'!$A:$G,5,FALSE)</f>
        <v/>
      </c>
      <c r="D5">
        <f>VLOOKUP(A5,'[Employee_Details_Sample.xlsx]Employee Details'!$A:$G,3,FALSE)</f>
        <v/>
      </c>
      <c r="E5">
        <f>VLOOKUP(C5,'[Employee_Details_Sample.xlsx]Bonus_Table'!$A:$B,2,TRUE)</f>
        <v/>
      </c>
      <c r="F5">
        <f>B5*E5</f>
        <v/>
      </c>
      <c r="G5">
        <f>VLOOKUP(D5,'[Employee_Details_Sample.xlsx]Scholarship_Table'!$A:$B,2,FALSE)</f>
        <v/>
      </c>
      <c r="H5">
        <f>(B5+F5+G5)*9%</f>
        <v/>
      </c>
      <c r="I5">
        <f>B5+F5+G5-H5</f>
        <v/>
      </c>
      <c r="J5">
        <f>IF(C5&gt;=90,"Excellent",IF(C5&gt;=80,"Very Good",IF(C5&gt;=70,"Good","Average")))</f>
        <v/>
      </c>
      <c r="K5">
        <f>IF(AND(C5&gt;=90,G5&gt;=4000),"Eligible","Not Eligible")</f>
        <v/>
      </c>
      <c r="L5">
        <f>IF(OR(C5&gt;=95,F5&gt;=3000),"Reward","No Reward")</f>
        <v/>
      </c>
      <c r="M5">
        <f>IFS(C5&gt;=90,"Gold",C5&gt;=80,"Silver",C5&gt;=70,"Bronze",TRUE,"Basic")</f>
        <v/>
      </c>
    </row>
    <row r="6">
      <c r="A6" t="inlineStr">
        <is>
          <t>EMP005</t>
        </is>
      </c>
      <c r="B6">
        <f>VLOOKUP(A6,'[Employee_Details_Sample.xlsx]Employee Details'!$A:$G,4,FALSE)</f>
        <v/>
      </c>
      <c r="C6">
        <f>VLOOKUP(A6,'[Employee_Details_Sample.xlsx]Employee Details'!$A:$G,5,FALSE)</f>
        <v/>
      </c>
      <c r="D6">
        <f>VLOOKUP(A6,'[Employee_Details_Sample.xlsx]Employee Details'!$A:$G,3,FALSE)</f>
        <v/>
      </c>
      <c r="E6">
        <f>VLOOKUP(C6,'[Employee_Details_Sample.xlsx]Bonus_Table'!$A:$B,2,TRUE)</f>
        <v/>
      </c>
      <c r="F6">
        <f>B6*E6</f>
        <v/>
      </c>
      <c r="G6">
        <f>VLOOKUP(D6,'[Employee_Details_Sample.xlsx]Scholarship_Table'!$A:$B,2,FALSE)</f>
        <v/>
      </c>
      <c r="H6">
        <f>(B6+F6+G6)*9%</f>
        <v/>
      </c>
      <c r="I6">
        <f>B6+F6+G6-H6</f>
        <v/>
      </c>
      <c r="J6">
        <f>IF(C6&gt;=90,"Excellent",IF(C6&gt;=80,"Very Good",IF(C6&gt;=70,"Good","Average")))</f>
        <v/>
      </c>
      <c r="K6">
        <f>IF(AND(C6&gt;=90,G6&gt;=4000),"Eligible","Not Eligible")</f>
        <v/>
      </c>
      <c r="L6">
        <f>IF(OR(C6&gt;=95,F6&gt;=3000),"Reward","No Reward")</f>
        <v/>
      </c>
      <c r="M6">
        <f>IFS(C6&gt;=90,"Gold",C6&gt;=80,"Silver",C6&gt;=70,"Bronze",TRUE,"Basic")</f>
        <v/>
      </c>
    </row>
    <row r="7">
      <c r="A7" t="inlineStr">
        <is>
          <t>EMP006</t>
        </is>
      </c>
      <c r="B7">
        <f>VLOOKUP(A7,'[Employee_Details_Sample.xlsx]Employee Details'!$A:$G,4,FALSE)</f>
        <v/>
      </c>
      <c r="C7">
        <f>VLOOKUP(A7,'[Employee_Details_Sample.xlsx]Employee Details'!$A:$G,5,FALSE)</f>
        <v/>
      </c>
      <c r="D7">
        <f>VLOOKUP(A7,'[Employee_Details_Sample.xlsx]Employee Details'!$A:$G,3,FALSE)</f>
        <v/>
      </c>
      <c r="E7">
        <f>VLOOKUP(C7,'[Employee_Details_Sample.xlsx]Bonus_Table'!$A:$B,2,TRUE)</f>
        <v/>
      </c>
      <c r="F7">
        <f>B7*E7</f>
        <v/>
      </c>
      <c r="G7">
        <f>VLOOKUP(D7,'[Employee_Details_Sample.xlsx]Scholarship_Table'!$A:$B,2,FALSE)</f>
        <v/>
      </c>
      <c r="H7">
        <f>(B7+F7+G7)*9%</f>
        <v/>
      </c>
      <c r="I7">
        <f>B7+F7+G7-H7</f>
        <v/>
      </c>
      <c r="J7">
        <f>IF(C7&gt;=90,"Excellent",IF(C7&gt;=80,"Very Good",IF(C7&gt;=70,"Good","Average")))</f>
        <v/>
      </c>
      <c r="K7">
        <f>IF(AND(C7&gt;=90,G7&gt;=4000),"Eligible","Not Eligible")</f>
        <v/>
      </c>
      <c r="L7">
        <f>IF(OR(C7&gt;=95,F7&gt;=3000),"Reward","No Reward")</f>
        <v/>
      </c>
      <c r="M7">
        <f>IFS(C7&gt;=90,"Gold",C7&gt;=80,"Silver",C7&gt;=70,"Bronze",TRUE,"Basic")</f>
        <v/>
      </c>
    </row>
    <row r="8">
      <c r="A8" t="inlineStr">
        <is>
          <t>EMP007</t>
        </is>
      </c>
      <c r="B8">
        <f>VLOOKUP(A8,'[Employee_Details_Sample.xlsx]Employee Details'!$A:$G,4,FALSE)</f>
        <v/>
      </c>
      <c r="C8">
        <f>VLOOKUP(A8,'[Employee_Details_Sample.xlsx]Employee Details'!$A:$G,5,FALSE)</f>
        <v/>
      </c>
      <c r="D8">
        <f>VLOOKUP(A8,'[Employee_Details_Sample.xlsx]Employee Details'!$A:$G,3,FALSE)</f>
        <v/>
      </c>
      <c r="E8">
        <f>VLOOKUP(C8,'[Employee_Details_Sample.xlsx]Bonus_Table'!$A:$B,2,TRUE)</f>
        <v/>
      </c>
      <c r="F8">
        <f>B8*E8</f>
        <v/>
      </c>
      <c r="G8">
        <f>VLOOKUP(D8,'[Employee_Details_Sample.xlsx]Scholarship_Table'!$A:$B,2,FALSE)</f>
        <v/>
      </c>
      <c r="H8">
        <f>(B8+F8+G8)*9%</f>
        <v/>
      </c>
      <c r="I8">
        <f>B8+F8+G8-H8</f>
        <v/>
      </c>
      <c r="J8">
        <f>IF(C8&gt;=90,"Excellent",IF(C8&gt;=80,"Very Good",IF(C8&gt;=70,"Good","Average")))</f>
        <v/>
      </c>
      <c r="K8">
        <f>IF(AND(C8&gt;=90,G8&gt;=4000),"Eligible","Not Eligible")</f>
        <v/>
      </c>
      <c r="L8">
        <f>IF(OR(C8&gt;=95,F8&gt;=3000),"Reward","No Reward")</f>
        <v/>
      </c>
      <c r="M8">
        <f>IFS(C8&gt;=90,"Gold",C8&gt;=80,"Silver",C8&gt;=70,"Bronze",TRUE,"Basic")</f>
        <v/>
      </c>
    </row>
    <row r="9">
      <c r="A9" t="inlineStr">
        <is>
          <t>EMP008</t>
        </is>
      </c>
      <c r="B9">
        <f>VLOOKUP(A9,'[Employee_Details_Sample.xlsx]Employee Details'!$A:$G,4,FALSE)</f>
        <v/>
      </c>
      <c r="C9">
        <f>VLOOKUP(A9,'[Employee_Details_Sample.xlsx]Employee Details'!$A:$G,5,FALSE)</f>
        <v/>
      </c>
      <c r="D9">
        <f>VLOOKUP(A9,'[Employee_Details_Sample.xlsx]Employee Details'!$A:$G,3,FALSE)</f>
        <v/>
      </c>
      <c r="E9">
        <f>VLOOKUP(C9,'[Employee_Details_Sample.xlsx]Bonus_Table'!$A:$B,2,TRUE)</f>
        <v/>
      </c>
      <c r="F9">
        <f>B9*E9</f>
        <v/>
      </c>
      <c r="G9">
        <f>VLOOKUP(D9,'[Employee_Details_Sample.xlsx]Scholarship_Table'!$A:$B,2,FALSE)</f>
        <v/>
      </c>
      <c r="H9">
        <f>(B9+F9+G9)*9%</f>
        <v/>
      </c>
      <c r="I9">
        <f>B9+F9+G9-H9</f>
        <v/>
      </c>
      <c r="J9">
        <f>IF(C9&gt;=90,"Excellent",IF(C9&gt;=80,"Very Good",IF(C9&gt;=70,"Good","Average")))</f>
        <v/>
      </c>
      <c r="K9">
        <f>IF(AND(C9&gt;=90,G9&gt;=4000),"Eligible","Not Eligible")</f>
        <v/>
      </c>
      <c r="L9">
        <f>IF(OR(C9&gt;=95,F9&gt;=3000),"Reward","No Reward")</f>
        <v/>
      </c>
      <c r="M9">
        <f>IFS(C9&gt;=90,"Gold",C9&gt;=80,"Silver",C9&gt;=70,"Bronze",TRUE,"Basic")</f>
        <v/>
      </c>
    </row>
    <row r="10">
      <c r="A10" t="inlineStr">
        <is>
          <t>EMP009</t>
        </is>
      </c>
      <c r="B10">
        <f>VLOOKUP(A10,'[Employee_Details_Sample.xlsx]Employee Details'!$A:$G,4,FALSE)</f>
        <v/>
      </c>
      <c r="C10">
        <f>VLOOKUP(A10,'[Employee_Details_Sample.xlsx]Employee Details'!$A:$G,5,FALSE)</f>
        <v/>
      </c>
      <c r="D10">
        <f>VLOOKUP(A10,'[Employee_Details_Sample.xlsx]Employee Details'!$A:$G,3,FALSE)</f>
        <v/>
      </c>
      <c r="E10">
        <f>VLOOKUP(C10,'[Employee_Details_Sample.xlsx]Bonus_Table'!$A:$B,2,TRUE)</f>
        <v/>
      </c>
      <c r="F10">
        <f>B10*E10</f>
        <v/>
      </c>
      <c r="G10">
        <f>VLOOKUP(D10,'[Employee_Details_Sample.xlsx]Scholarship_Table'!$A:$B,2,FALSE)</f>
        <v/>
      </c>
      <c r="H10">
        <f>(B10+F10+G10)*9%</f>
        <v/>
      </c>
      <c r="I10">
        <f>B10+F10+G10-H10</f>
        <v/>
      </c>
      <c r="J10">
        <f>IF(C10&gt;=90,"Excellent",IF(C10&gt;=80,"Very Good",IF(C10&gt;=70,"Good","Average")))</f>
        <v/>
      </c>
      <c r="K10">
        <f>IF(AND(C10&gt;=90,G10&gt;=4000),"Eligible","Not Eligible")</f>
        <v/>
      </c>
      <c r="L10">
        <f>IF(OR(C10&gt;=95,F10&gt;=3000),"Reward","No Reward")</f>
        <v/>
      </c>
      <c r="M10">
        <f>IFS(C10&gt;=90,"Gold",C10&gt;=80,"Silver",C10&gt;=70,"Bronze",TRUE,"Basic")</f>
        <v/>
      </c>
    </row>
    <row r="11">
      <c r="A11" t="inlineStr">
        <is>
          <t>EMP010</t>
        </is>
      </c>
      <c r="B11">
        <f>VLOOKUP(A11,'[Employee_Details_Sample.xlsx]Employee Details'!$A:$G,4,FALSE)</f>
        <v/>
      </c>
      <c r="C11">
        <f>VLOOKUP(A11,'[Employee_Details_Sample.xlsx]Employee Details'!$A:$G,5,FALSE)</f>
        <v/>
      </c>
      <c r="D11">
        <f>VLOOKUP(A11,'[Employee_Details_Sample.xlsx]Employee Details'!$A:$G,3,FALSE)</f>
        <v/>
      </c>
      <c r="E11">
        <f>VLOOKUP(C11,'[Employee_Details_Sample.xlsx]Bonus_Table'!$A:$B,2,TRUE)</f>
        <v/>
      </c>
      <c r="F11">
        <f>B11*E11</f>
        <v/>
      </c>
      <c r="G11">
        <f>VLOOKUP(D11,'[Employee_Details_Sample.xlsx]Scholarship_Table'!$A:$B,2,FALSE)</f>
        <v/>
      </c>
      <c r="H11">
        <f>(B11+F11+G11)*9%</f>
        <v/>
      </c>
      <c r="I11">
        <f>B11+F11+G11-H11</f>
        <v/>
      </c>
      <c r="J11">
        <f>IF(C11&gt;=90,"Excellent",IF(C11&gt;=80,"Very Good",IF(C11&gt;=70,"Good","Average")))</f>
        <v/>
      </c>
      <c r="K11">
        <f>IF(AND(C11&gt;=90,G11&gt;=4000),"Eligible","Not Eligible")</f>
        <v/>
      </c>
      <c r="L11">
        <f>IF(OR(C11&gt;=95,F11&gt;=3000),"Reward","No Reward")</f>
        <v/>
      </c>
      <c r="M11">
        <f>IFS(C11&gt;=90,"Gold",C11&gt;=80,"Silver",C11&gt;=70,"Bronze",TRUE,"Basic")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2026-06-26T10:09:58Z</dcterms:created>
  <dcterms:modified xmlns:dcterms="http://purl.org/dc/terms/" xmlns:xsi="http://www.w3.org/2001/XMLSchema-instance" xsi:type="dcterms:W3CDTF">2026-06-26T10:09:58Z</dcterms:modified>
</cp:coreProperties>
</file>